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D15" i="1"/>
  <c r="D14" i="1"/>
  <c r="D13" i="1"/>
  <c r="F3" i="1"/>
  <c r="F2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<sst xmlns="http://schemas.openxmlformats.org/spreadsheetml/2006/main" count="41" uniqueCount="41">
  <si>
    <t>Medicine</t>
  </si>
  <si>
    <t>Company</t>
  </si>
  <si>
    <t>Batch</t>
  </si>
  <si>
    <t>Stock</t>
  </si>
  <si>
    <t>Expiry</t>
  </si>
  <si>
    <t>Paracetamol</t>
  </si>
  <si>
    <t>Cipla</t>
  </si>
  <si>
    <t>B101</t>
  </si>
  <si>
    <t>Amoxicillin</t>
  </si>
  <si>
    <t>Sun Pharma</t>
  </si>
  <si>
    <t>B102</t>
  </si>
  <si>
    <t>Cetirizine</t>
  </si>
  <si>
    <t>Mankind</t>
  </si>
  <si>
    <t>B103</t>
  </si>
  <si>
    <t>Pantoprazole</t>
  </si>
  <si>
    <t>Alkem</t>
  </si>
  <si>
    <t>B104</t>
  </si>
  <si>
    <t>Azithromycin</t>
  </si>
  <si>
    <t>Abbott</t>
  </si>
  <si>
    <t>B105</t>
  </si>
  <si>
    <t>Vitamin C</t>
  </si>
  <si>
    <t>Zydus</t>
  </si>
  <si>
    <t>B106</t>
  </si>
  <si>
    <t>ORS Powder</t>
  </si>
  <si>
    <t>Dr. Reddy's</t>
  </si>
  <si>
    <t>B107</t>
  </si>
  <si>
    <t>Diclofenac</t>
  </si>
  <si>
    <t>Torrent</t>
  </si>
  <si>
    <t>B108</t>
  </si>
  <si>
    <t>Ibuprofen</t>
  </si>
  <si>
    <t>Lupin</t>
  </si>
  <si>
    <t>B109</t>
  </si>
  <si>
    <t>Dolo 650</t>
  </si>
  <si>
    <t>Micro Labs</t>
  </si>
  <si>
    <t>B110</t>
  </si>
  <si>
    <t>Stock Status</t>
  </si>
  <si>
    <t xml:space="preserve">Total Stock </t>
  </si>
  <si>
    <t xml:space="preserve">Avarage Stock </t>
  </si>
  <si>
    <t xml:space="preserve">Highest Stock </t>
  </si>
  <si>
    <t>Total Meds</t>
  </si>
  <si>
    <t>Lowest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</si>
</sst>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sz val="11"/>
      <color theme="1"/>
      <name val="MingLiU-ExtB"/>
      <family val="1"/>
    </font>
    <font>
      <sz val="12"/>
      <color theme="1"/>
      <name val="MingLiU-ExtB"/>
      <family val="1"/>
    </font>
    <font>
      <b/>
      <u/>
      <sz val="12"/>
      <color theme="1"/>
      <name val="MingLiU-ExtB"/>
      <family val="1"/>
    </font>
    <font>
      <b/>
      <sz val="11"/>
      <color theme="1"/>
      <name val="MingLiU-ExtB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7" fontId="2" fillId="2" borderId="9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E13" sqref="E13"/>
    </sheetView>
  </sheetViews>
  <sheetFormatPr defaultColWidth="9.125" defaultRowHeight="15.75"/>
  <cols>
    <col min="1" max="1" width="25.75" style="5" customWidth="1"/>
    <col min="2" max="5" width="25.75" style="4" customWidth="1"/>
    <col min="6" max="6" width="21.875" style="4" customWidth="1"/>
    <col min="7" max="16384" width="9.125" style="4"/>
  </cols>
  <sheetData>
    <row r="1" spans="1:14" s="3" customFormat="1" ht="24.95" customHeigh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35</v>
      </c>
      <c r="I1" s="6"/>
      <c r="J1" s="6"/>
      <c r="K1" s="6"/>
      <c r="L1" s="6"/>
      <c r="M1" s="6"/>
      <c r="N1" s="6"/>
    </row>
    <row r="2" spans="1:14" ht="24.95" customHeight="1">
      <c r="A2" s="17" t="s">
        <v>5</v>
      </c>
      <c r="B2" s="1" t="s">
        <v>6</v>
      </c>
      <c r="C2" s="1" t="s">
        <v>7</v>
      </c>
      <c r="D2" s="1">
        <v>150</v>
      </c>
      <c r="E2" s="2">
        <v>46722</v>
      </c>
      <c r="F2" s="18" t="str">
        <f>IF(D2&gt;=100,"Available","Low Stock")</f>
        <v>Available</v>
      </c>
      <c r="I2" s="7"/>
      <c r="J2" s="7"/>
      <c r="K2" s="7"/>
      <c r="L2" s="7"/>
      <c r="M2" s="7"/>
      <c r="N2" s="7"/>
    </row>
    <row r="3" spans="1:14" ht="24.95" customHeight="1">
      <c r="A3" s="17" t="s">
        <v>8</v>
      </c>
      <c r="B3" s="1" t="s">
        <v>9</v>
      </c>
      <c r="C3" s="1" t="s">
        <v>10</v>
      </c>
      <c r="D3" s="1">
        <v>60</v>
      </c>
      <c r="E3" s="2">
        <v>46813</v>
      </c>
      <c r="F3" s="18" t="str">
        <f>IF(D3&gt;=100,"Available","Low Stock")</f>
        <v>Low Stock</v>
      </c>
      <c r="I3" s="7"/>
      <c r="J3" s="7"/>
      <c r="K3" s="7"/>
      <c r="L3" s="7"/>
      <c r="M3" s="7"/>
      <c r="N3" s="7"/>
    </row>
    <row r="4" spans="1:14" ht="24.95" customHeight="1">
      <c r="A4" s="17" t="s">
        <v>11</v>
      </c>
      <c r="B4" s="1" t="s">
        <v>12</v>
      </c>
      <c r="C4" s="1" t="s">
        <v>13</v>
      </c>
      <c r="D4" s="1">
        <v>220</v>
      </c>
      <c r="E4" s="2">
        <v>46753</v>
      </c>
      <c r="F4" s="18" t="str">
        <f t="shared" ref="F4:F11" si="0">IF(D4&gt;=100,"Available","Low Stock")</f>
        <v>Available</v>
      </c>
      <c r="I4" s="7"/>
      <c r="J4" s="7"/>
      <c r="K4" s="7"/>
      <c r="L4" s="7"/>
      <c r="M4" s="7"/>
      <c r="N4" s="7"/>
    </row>
    <row r="5" spans="1:14" ht="24.95" customHeight="1">
      <c r="A5" s="17" t="s">
        <v>14</v>
      </c>
      <c r="B5" s="1" t="s">
        <v>15</v>
      </c>
      <c r="C5" s="1" t="s">
        <v>16</v>
      </c>
      <c r="D5" s="1">
        <v>40</v>
      </c>
      <c r="E5" s="2">
        <v>46692</v>
      </c>
      <c r="F5" s="18" t="str">
        <f t="shared" si="0"/>
        <v>Low Stock</v>
      </c>
      <c r="I5" s="7"/>
      <c r="J5" s="7"/>
      <c r="K5" s="7"/>
      <c r="L5" s="7"/>
      <c r="M5" s="7"/>
      <c r="N5" s="7"/>
    </row>
    <row r="6" spans="1:14" ht="24.95" customHeight="1">
      <c r="A6" s="17" t="s">
        <v>17</v>
      </c>
      <c r="B6" s="1" t="s">
        <v>18</v>
      </c>
      <c r="C6" s="1" t="s">
        <v>19</v>
      </c>
      <c r="D6" s="1">
        <v>180</v>
      </c>
      <c r="E6" s="2">
        <v>46784</v>
      </c>
      <c r="F6" s="18" t="str">
        <f t="shared" si="0"/>
        <v>Available</v>
      </c>
      <c r="I6" s="7"/>
      <c r="J6" s="7"/>
      <c r="K6" s="7"/>
      <c r="L6" s="7"/>
      <c r="M6" s="7"/>
      <c r="N6" s="7"/>
    </row>
    <row r="7" spans="1:14" ht="24.95" customHeight="1">
      <c r="A7" s="17" t="s">
        <v>20</v>
      </c>
      <c r="B7" s="1" t="s">
        <v>21</v>
      </c>
      <c r="C7" s="1" t="s">
        <v>22</v>
      </c>
      <c r="D7" s="1">
        <v>75</v>
      </c>
      <c r="E7" s="2">
        <v>46844</v>
      </c>
      <c r="F7" s="18" t="str">
        <f t="shared" si="0"/>
        <v>Low Stock</v>
      </c>
      <c r="I7" s="7"/>
      <c r="J7" s="7"/>
      <c r="K7" s="7"/>
      <c r="L7" s="7"/>
      <c r="M7" s="7"/>
      <c r="N7" s="7"/>
    </row>
    <row r="8" spans="1:14" ht="24.95" customHeight="1">
      <c r="A8" s="17" t="s">
        <v>23</v>
      </c>
      <c r="B8" s="1" t="s">
        <v>24</v>
      </c>
      <c r="C8" s="1" t="s">
        <v>25</v>
      </c>
      <c r="D8" s="1">
        <v>300</v>
      </c>
      <c r="E8" s="2">
        <v>46905</v>
      </c>
      <c r="F8" s="18" t="str">
        <f t="shared" si="0"/>
        <v>Available</v>
      </c>
      <c r="I8" s="7"/>
      <c r="J8" s="7"/>
      <c r="K8" s="7"/>
      <c r="L8" s="7"/>
      <c r="M8" s="7"/>
      <c r="N8" s="7"/>
    </row>
    <row r="9" spans="1:14" ht="24.95" customHeight="1">
      <c r="A9" s="17" t="s">
        <v>26</v>
      </c>
      <c r="B9" s="1" t="s">
        <v>27</v>
      </c>
      <c r="C9" s="1" t="s">
        <v>28</v>
      </c>
      <c r="D9" s="1">
        <v>90</v>
      </c>
      <c r="E9" s="2">
        <v>46631</v>
      </c>
      <c r="F9" s="18" t="str">
        <f t="shared" si="0"/>
        <v>Low Stock</v>
      </c>
      <c r="I9" s="7"/>
      <c r="J9" s="7"/>
      <c r="K9" s="7"/>
      <c r="L9" s="7"/>
      <c r="M9" s="7"/>
      <c r="N9" s="7"/>
    </row>
    <row r="10" spans="1:14" ht="24.95" customHeight="1">
      <c r="A10" s="17" t="s">
        <v>29</v>
      </c>
      <c r="B10" s="1" t="s">
        <v>30</v>
      </c>
      <c r="C10" s="1" t="s">
        <v>31</v>
      </c>
      <c r="D10" s="1">
        <v>130</v>
      </c>
      <c r="E10" s="2">
        <v>46722</v>
      </c>
      <c r="F10" s="18" t="str">
        <f t="shared" si="0"/>
        <v>Available</v>
      </c>
      <c r="I10" s="7"/>
      <c r="J10" s="7"/>
      <c r="K10" s="7"/>
      <c r="L10" s="7"/>
      <c r="M10" s="7"/>
      <c r="N10" s="7"/>
    </row>
    <row r="11" spans="1:14" ht="24.95" customHeight="1" thickBot="1">
      <c r="A11" s="19" t="s">
        <v>32</v>
      </c>
      <c r="B11" s="20" t="s">
        <v>33</v>
      </c>
      <c r="C11" s="20" t="s">
        <v>34</v>
      </c>
      <c r="D11" s="20">
        <v>250</v>
      </c>
      <c r="E11" s="21">
        <v>46753</v>
      </c>
      <c r="F11" s="22" t="str">
        <f t="shared" si="0"/>
        <v>Available</v>
      </c>
      <c r="I11" s="7"/>
      <c r="J11" s="7"/>
      <c r="K11" s="7"/>
      <c r="L11" s="7"/>
      <c r="M11" s="7"/>
      <c r="N11" s="7"/>
    </row>
    <row r="12" spans="1:14" ht="24.95" customHeight="1" thickBot="1"/>
    <row r="13" spans="1:14">
      <c r="C13" s="8" t="s">
        <v>36</v>
      </c>
      <c r="D13" s="9">
        <f>SUM(D2:D11)</f>
        <v>1495</v>
      </c>
    </row>
    <row r="14" spans="1:14">
      <c r="C14" s="10" t="s">
        <v>37</v>
      </c>
      <c r="D14" s="11">
        <f>AVERAGE(D2:D11)</f>
        <v>149.5</v>
      </c>
    </row>
    <row r="15" spans="1:14">
      <c r="C15" s="10" t="s">
        <v>38</v>
      </c>
      <c r="D15" s="11">
        <f>MAX(D2:D11)</f>
        <v>300</v>
      </c>
    </row>
    <row r="16" spans="1:14">
      <c r="C16" s="10" t="s">
        <v>40</v>
      </c>
      <c r="D16" s="11">
        <f>MIN(D2:D11)</f>
        <v>40</v>
      </c>
    </row>
    <row r="17" spans="3:4" ht="16.5" thickBot="1">
      <c r="C17" s="12" t="s">
        <v>39</v>
      </c>
      <c r="D17" s="13">
        <f>COUNTA(A2:A11)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SMART3</dc:creator>
  <cp:lastModifiedBy>hp</cp:lastModifiedBy>
  <dcterms:created xsi:type="dcterms:W3CDTF">2026-07-29T05:59:16Z</dcterms:created>
  <dcterms:modified xsi:type="dcterms:W3CDTF">2026-07-31T15:56:37Z</dcterms:modified>
</cp:coreProperties>
</file>